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<sst xmlns="http://schemas.openxmlformats.org/spreadsheetml/2006/main" uniqueCount="86" count="86">
  <si>
    <t>DIESEL</t>
  </si>
  <si>
    <t>PREMIUM</t>
  </si>
  <si>
    <t>UNLEADED</t>
  </si>
  <si>
    <t>PREMIUM (dis)</t>
  </si>
  <si>
    <t>UNLEADED (dis)</t>
  </si>
  <si>
    <t>BEG. READING</t>
  </si>
  <si>
    <t>END READING</t>
  </si>
  <si>
    <t>GROSS</t>
  </si>
  <si>
    <t>Less: Adjustment</t>
  </si>
  <si>
    <t>NET READING</t>
  </si>
  <si>
    <t>PRICE / LITER</t>
  </si>
  <si>
    <t>TOTAL FUEL</t>
  </si>
  <si>
    <t>Php 6,132.43</t>
  </si>
  <si>
    <t>DEPOSIT 1</t>
  </si>
  <si>
    <t>DEPOSIT 8</t>
  </si>
  <si>
    <t>DEPOSIT 2</t>
  </si>
  <si>
    <t>DEPOSIT 9</t>
  </si>
  <si>
    <t>DEPOSIT 3</t>
  </si>
  <si>
    <t>DEPOSIT 10</t>
  </si>
  <si>
    <t>DEPOSIT 4</t>
  </si>
  <si>
    <t>DEPOSIT 11</t>
  </si>
  <si>
    <t>DEPOSIT 5</t>
  </si>
  <si>
    <t>DEPOSIT 12</t>
  </si>
  <si>
    <t>DEPOSIT 6</t>
  </si>
  <si>
    <t>DEPOSIT 13</t>
  </si>
  <si>
    <t>DEPOSIT 7</t>
  </si>
  <si>
    <t>DEPOSIT 14</t>
  </si>
  <si>
    <t>A. TOTAL CASH DEPOSIT</t>
  </si>
  <si>
    <t>B. TOTAL CASH REGISTER</t>
  </si>
  <si>
    <t>Gcash 1</t>
  </si>
  <si>
    <t>Gcash 2</t>
  </si>
  <si>
    <t>Gcash 3</t>
  </si>
  <si>
    <t>Gcash 4</t>
  </si>
  <si>
    <t>Gcash 5</t>
  </si>
  <si>
    <t>Gcash 6</t>
  </si>
  <si>
    <t>Gcash 7</t>
  </si>
  <si>
    <t>Calibration</t>
  </si>
  <si>
    <t>D. CHARGE INVOICES</t>
  </si>
  <si>
    <t>E. EXPENSES</t>
  </si>
  <si>
    <t>F. PURCHASE / DISBURSEMENTS</t>
  </si>
  <si>
    <t>TOTAL REMITTANCE</t>
  </si>
  <si>
    <t>SHORT / OVER</t>
  </si>
  <si>
    <t>Tumans 6,133</t>
  </si>
  <si>
    <t xml:space="preserve">F. PURCHASE </t>
  </si>
  <si>
    <t>+=SUM(B17,B16,B18,B19,B20,B21,B22,D16,D17,D18,D19,D20,D21,D22,B25,B26,B27,B28,B29,B30,B31)</t>
  </si>
  <si>
    <t>PO</t>
  </si>
  <si>
    <t>customer</t>
  </si>
  <si>
    <t>liters</t>
  </si>
  <si>
    <t>amount</t>
  </si>
  <si>
    <t>price</t>
  </si>
  <si>
    <t>C.I no.</t>
  </si>
  <si>
    <t>Total:</t>
  </si>
  <si>
    <t>MACKY OIL&amp;GAS</t>
  </si>
  <si>
    <t xml:space="preserve"> </t>
  </si>
  <si>
    <t>UPPER MANDANGOA, BALINGSAG MISAMIS ORIENTAL</t>
  </si>
  <si>
    <t>DAILY ACCOUNTABILITY REPORT</t>
  </si>
  <si>
    <t>Product</t>
  </si>
  <si>
    <t>TOTAl sale</t>
  </si>
  <si>
    <t>cash out</t>
  </si>
  <si>
    <t>sop</t>
  </si>
  <si>
    <t>B. TOTAL CASH OUT</t>
  </si>
  <si>
    <t>TOTAL ACCOUNTABILITY:</t>
  </si>
  <si>
    <t>₱6,132.429</t>
  </si>
  <si>
    <t>Less: D. Charge Invoices:</t>
  </si>
  <si>
    <t>₱1,500.00</t>
  </si>
  <si>
    <t>Less: E. Expenses:</t>
  </si>
  <si>
    <t>₱2,000.00</t>
  </si>
  <si>
    <t>Less: F. Purchases:</t>
  </si>
  <si>
    <t>₱0.00</t>
  </si>
  <si>
    <t>= EXPECTED CASH:</t>
  </si>
  <si>
    <t>₱2,632.429</t>
  </si>
  <si>
    <t>TOTAL REMITTANCE:</t>
  </si>
  <si>
    <t>₱2,633.00</t>
  </si>
  <si>
    <t>SHORT/OVER:</t>
  </si>
  <si>
    <t>₱0.571</t>
  </si>
  <si>
    <t>Total Sales:</t>
  </si>
  <si>
    <t>A. VAULT DEPOSITS:1,120.00</t>
  </si>
  <si>
    <t>GCASH:1,500.00</t>
  </si>
  <si>
    <t>CASH REGISTER:13.00</t>
  </si>
  <si>
    <t>A. VAULT DEPOSITS:</t>
  </si>
  <si>
    <t>GCASH:</t>
  </si>
  <si>
    <t>CASH REGISTER</t>
  </si>
  <si>
    <t>CASH REGISTER:</t>
  </si>
  <si>
    <t>POS SYSTEM COPUTATION BY:Harley</t>
  </si>
  <si>
    <t>C. TOTAL CASH OUT</t>
  </si>
  <si>
    <t>SIR MARK COMPUTATION ACCOUNTABILITY</t>
  </si>
</sst>
</file>

<file path=xl/styles.xml><?xml version="1.0" encoding="utf-8"?>
<styleSheet xmlns="http://schemas.openxmlformats.org/spreadsheetml/2006/main">
  <numFmts count="5">
    <numFmt numFmtId="0" formatCode="General"/>
    <numFmt numFmtId="43" formatCode="_-* #,##0.00_-;\-* #,##0.00_-;_-* &quot;-&quot;??_-;_-@_-"/>
    <numFmt numFmtId="3" formatCode="#,##0"/>
    <numFmt numFmtId="4" formatCode="#,##0.00"/>
    <numFmt numFmtId="2" formatCode="0.00"/>
  </numFmts>
  <fonts count="5">
    <font>
      <name val="Arial"/>
      <sz val="11"/>
    </font>
    <font>
      <name val="Arial"/>
      <sz val="11"/>
    </font>
    <font>
      <name val="Arial"/>
      <sz val="11"/>
    </font>
    <font>
      <name val="Arial"/>
      <b/>
      <sz val="11"/>
    </font>
    <font>
      <name val="Arial"/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Border="1">
      <alignment vertical="center"/>
    </xf>
    <xf numFmtId="43" fontId="1" fillId="0" borderId="1" xfId="0" applyNumberFormat="1" applyBorder="1">
      <alignment vertical="center"/>
    </xf>
    <xf numFmtId="0" fontId="1" fillId="0" borderId="2" xfId="0" applyBorder="1">
      <alignment vertical="center"/>
    </xf>
    <xf numFmtId="0" fontId="2" fillId="0" borderId="1" xfId="0" applyBorder="1">
      <alignment vertical="center"/>
    </xf>
    <xf numFmtId="0" fontId="2" fillId="0" borderId="0" xfId="0" applyBorder="1">
      <alignment vertical="center"/>
    </xf>
    <xf numFmtId="0" fontId="1" fillId="0" borderId="0" xfId="0" applyBorder="1">
      <alignment vertical="center"/>
    </xf>
    <xf numFmtId="43" fontId="1" fillId="0" borderId="2" xfId="0" applyNumberFormat="1" applyBorder="1">
      <alignment vertical="center"/>
    </xf>
    <xf numFmtId="43" fontId="2" fillId="0" borderId="1" xfId="0" applyNumberFormat="1" applyBorder="1">
      <alignment vertical="center"/>
    </xf>
    <xf numFmtId="3" fontId="2" fillId="0" borderId="0" xfId="0" applyNumberFormat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43" fontId="0" fillId="0" borderId="1" xfId="0" applyNumberFormat="1" applyBorder="1">
      <alignment vertical="center"/>
    </xf>
    <xf numFmtId="4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4" fillId="0" borderId="1" xfId="0" applyBorder="1">
      <alignment vertical="center"/>
    </xf>
    <xf numFmtId="43" fontId="4" fillId="0" borderId="1" xfId="0" applyNumberFormat="1" applyBorder="1">
      <alignment vertical="center"/>
    </xf>
    <xf numFmtId="3" fontId="4" fillId="0" borderId="1" xfId="0" applyNumberForma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92"/>
  <sheetViews>
    <sheetView tabSelected="1" workbookViewId="0" topLeftCell="B55" zoomScale="90">
      <selection activeCell="B65" sqref="B65"/>
    </sheetView>
  </sheetViews>
  <sheetFormatPr defaultRowHeight="14.25" defaultColWidth="10"/>
  <cols>
    <col min="1" max="1" customWidth="1" width="14.90625" style="0"/>
    <col min="2" max="2" customWidth="1" width="19.597656" style="0"/>
    <col min="3" max="3" customWidth="1" bestFit="1" width="10.285156" style="0"/>
    <col min="4" max="4" customWidth="1" width="12.566406" style="0"/>
    <col min="5" max="5" customWidth="1" bestFit="1" width="10.285156" style="0"/>
    <col min="6" max="6" customWidth="1" width="13.136719" style="0"/>
    <col min="8" max="8" customWidth="1" bestFit="1" width="10.285156" style="0"/>
    <col min="9" max="9" customWidth="1" bestFit="1" width="10.285156" style="0"/>
  </cols>
  <sheetData>
    <row r="1" spans="8:8">
      <c r="A1" t="s">
        <v>52</v>
      </c>
    </row>
    <row r="2" spans="8:8" ht="14.9">
      <c r="A2" t="s">
        <v>53</v>
      </c>
      <c r="L2" t="str">
        <f>B6</f>
        <v>DIESEL</v>
      </c>
      <c r="M2">
        <f>B12</f>
        <v>94.17</v>
      </c>
    </row>
    <row r="3" spans="8:8">
      <c r="A3" t="s">
        <v>54</v>
      </c>
      <c r="L3" t="str">
        <f>C6</f>
        <v>PREMIUM</v>
      </c>
      <c r="M3">
        <f>C12</f>
        <v>89.19</v>
      </c>
    </row>
    <row r="4" spans="8:8">
      <c r="A4" t="s">
        <v>53</v>
      </c>
      <c r="L4" t="str">
        <f>D6</f>
        <v>UNLEADED</v>
      </c>
      <c r="M4">
        <f>D12</f>
        <v>88.69</v>
      </c>
    </row>
    <row r="5" spans="8:8">
      <c r="A5" t="s">
        <v>55</v>
      </c>
    </row>
    <row r="6" spans="8:8">
      <c r="A6" s="1" t="s">
        <v>0</v>
      </c>
      <c r="B6" s="1" t="s">
        <v>0</v>
      </c>
      <c r="C6" s="1" t="s">
        <v>1</v>
      </c>
      <c r="D6" s="1" t="s">
        <v>2</v>
      </c>
      <c r="E6" s="1"/>
      <c r="F6" s="1"/>
      <c r="G6" s="1"/>
      <c r="H6" s="1"/>
      <c r="I6" s="1"/>
    </row>
    <row r="7" spans="8:8" ht="14.9">
      <c r="A7" s="1" t="s">
        <v>5</v>
      </c>
      <c r="B7" s="1">
        <v>281545.08</v>
      </c>
      <c r="C7" s="1">
        <v>1164903.84</v>
      </c>
      <c r="D7" s="1">
        <v>332931.0</v>
      </c>
      <c r="E7" s="1"/>
      <c r="F7" s="1"/>
      <c r="G7" s="1"/>
      <c r="H7" s="1"/>
      <c r="I7" s="1"/>
    </row>
    <row r="8" spans="8:8" ht="14.9">
      <c r="A8" s="1" t="s">
        <v>6</v>
      </c>
      <c r="B8" s="1">
        <v>281545.08</v>
      </c>
      <c r="C8" s="1">
        <v>1164954.34</v>
      </c>
      <c r="D8" s="1">
        <v>332949.36</v>
      </c>
      <c r="E8" s="1"/>
      <c r="F8" s="1"/>
      <c r="G8" s="1"/>
      <c r="H8" s="1"/>
      <c r="I8" s="1"/>
    </row>
    <row r="9" spans="8:8" ht="14.9">
      <c r="A9" s="1" t="s">
        <v>7</v>
      </c>
      <c r="E9" s="1">
        <f>SUM(E8-E7)-E14</f>
        <v>0.0</v>
      </c>
      <c r="F9" s="1">
        <f>SUM(F8-F7)-F14</f>
        <v>0.0</v>
      </c>
      <c r="G9" s="1"/>
      <c r="H9" s="1"/>
      <c r="I9" s="1"/>
    </row>
    <row r="10" spans="8:8" ht="14.9">
      <c r="A10" s="1" t="s">
        <v>8</v>
      </c>
      <c r="B10" s="1"/>
      <c r="C10" s="1"/>
      <c r="D10" s="1"/>
      <c r="E10" s="1"/>
      <c r="F10" s="1"/>
      <c r="G10" s="1"/>
      <c r="H10" s="1"/>
      <c r="I10" s="1"/>
    </row>
    <row r="11" spans="8:8" ht="14.9">
      <c r="A11" s="1" t="s">
        <v>9</v>
      </c>
      <c r="B11" s="1">
        <f>SUM(B8-B7)-B14</f>
        <v>0.0</v>
      </c>
      <c r="C11" s="1">
        <f>SUM(C8-C7)-C14</f>
        <v>50.5</v>
      </c>
      <c r="D11" s="1">
        <f>SUM(D8-D7)-D14</f>
        <v>18.359999999986</v>
      </c>
      <c r="E11" s="1">
        <f>SUM(E8-E7)-E14</f>
        <v>0.0</v>
      </c>
      <c r="F11" s="1">
        <f>SUM(F8-F7)-F14</f>
        <v>0.0</v>
      </c>
      <c r="G11" s="1">
        <f>SUM(G8-G7)-G14</f>
        <v>0.0</v>
      </c>
      <c r="H11" s="1"/>
      <c r="I11" s="1"/>
    </row>
    <row r="12" spans="8:8" ht="14.9">
      <c r="A12" s="1" t="s">
        <v>10</v>
      </c>
      <c r="B12" s="1">
        <v>94.17</v>
      </c>
      <c r="C12" s="1">
        <v>89.19</v>
      </c>
      <c r="D12" s="1">
        <v>88.69</v>
      </c>
      <c r="E12" s="1"/>
      <c r="F12" s="1"/>
      <c r="G12" s="1"/>
      <c r="H12" s="1" t="s">
        <v>57</v>
      </c>
      <c r="I12" s="1"/>
    </row>
    <row r="13" spans="8:8" ht="14.9">
      <c r="A13" s="1" t="s">
        <v>11</v>
      </c>
      <c r="B13" s="2">
        <f>SUM(B11*B12)</f>
        <v>0.0</v>
      </c>
      <c r="C13" s="2">
        <f>SUM(C11*C12)</f>
        <v>4504.095</v>
      </c>
      <c r="D13" s="2">
        <f>SUM(D11*D12)</f>
        <v>1628.3483999987584</v>
      </c>
      <c r="E13" s="2">
        <f>SUM(E9*E12)</f>
        <v>0.0</v>
      </c>
      <c r="F13" s="2">
        <f>SUM(F9*F12)</f>
        <v>0.0</v>
      </c>
      <c r="G13" s="2">
        <f>SUM(G9*G12)</f>
        <v>0.0</v>
      </c>
      <c r="H13" s="2">
        <f>SUM(B13,C13,D13,E13,F13,G13)</f>
        <v>6132.443399998759</v>
      </c>
      <c r="I13" s="2"/>
    </row>
    <row r="14" spans="8:8" ht="14.9">
      <c r="A14" s="1" t="s">
        <v>36</v>
      </c>
      <c r="B14" s="1">
        <v>0.0</v>
      </c>
      <c r="C14" s="1">
        <v>0.0</v>
      </c>
      <c r="D14" s="1">
        <v>0.0</v>
      </c>
      <c r="E14" s="3"/>
      <c r="F14" s="1"/>
      <c r="G14" s="1"/>
      <c r="H14" s="1"/>
      <c r="I14" s="1"/>
    </row>
    <row r="15" spans="8:8">
      <c r="E15" s="4"/>
    </row>
    <row r="16" spans="8:8" ht="14.9">
      <c r="A16" s="1" t="s">
        <v>13</v>
      </c>
      <c r="B16" s="2">
        <v>1000.0</v>
      </c>
      <c r="C16" s="1" t="s">
        <v>14</v>
      </c>
      <c r="D16" s="2"/>
    </row>
    <row r="17" spans="8:8" ht="14.9">
      <c r="A17" s="1" t="s">
        <v>15</v>
      </c>
      <c r="B17" s="2">
        <v>120.0</v>
      </c>
      <c r="C17" s="1" t="s">
        <v>16</v>
      </c>
      <c r="D17" s="2"/>
    </row>
    <row r="18" spans="8:8">
      <c r="A18" s="1" t="s">
        <v>17</v>
      </c>
      <c r="B18" s="2"/>
      <c r="C18" s="1" t="s">
        <v>18</v>
      </c>
      <c r="D18" s="2"/>
    </row>
    <row r="19" spans="8:8">
      <c r="A19" s="1" t="s">
        <v>19</v>
      </c>
      <c r="B19" s="2"/>
      <c r="C19" s="1" t="s">
        <v>20</v>
      </c>
      <c r="D19" s="2"/>
    </row>
    <row r="20" spans="8:8">
      <c r="A20" s="1" t="s">
        <v>21</v>
      </c>
      <c r="B20" s="2"/>
      <c r="C20" s="1" t="s">
        <v>22</v>
      </c>
      <c r="D20" s="2"/>
    </row>
    <row r="21" spans="8:8">
      <c r="A21" s="1" t="s">
        <v>23</v>
      </c>
      <c r="B21" s="2"/>
      <c r="C21" s="1" t="s">
        <v>24</v>
      </c>
      <c r="D21" s="2"/>
      <c r="G21" s="5" t="s">
        <v>45</v>
      </c>
    </row>
    <row r="22" spans="8:8">
      <c r="A22" s="1" t="s">
        <v>25</v>
      </c>
      <c r="B22" s="2"/>
      <c r="C22" s="1" t="s">
        <v>26</v>
      </c>
      <c r="D22" s="2"/>
      <c r="G22" s="4" t="s">
        <v>50</v>
      </c>
      <c r="H22" s="4" t="s">
        <v>46</v>
      </c>
      <c r="I22" s="4" t="s">
        <v>56</v>
      </c>
      <c r="J22" s="4" t="s">
        <v>47</v>
      </c>
      <c r="K22" s="4" t="s">
        <v>49</v>
      </c>
      <c r="L22" s="4" t="s">
        <v>48</v>
      </c>
    </row>
    <row r="23" spans="8:8" ht="14.9">
      <c r="C23" s="6" t="s">
        <v>27</v>
      </c>
      <c r="E23" s="2">
        <f>SUM(B17,B16,B18,B19,B20,B21,B22,D16,D17,D18,D19,D20,D21,D22,B25,B26,B27,B28,B29,B30,B31)</f>
        <v>2620.0</v>
      </c>
      <c r="G23" s="4"/>
      <c r="H23" s="4"/>
      <c r="I23" s="4"/>
      <c r="J23" s="4"/>
      <c r="K23" s="4"/>
      <c r="L23" s="4">
        <v>1000.0</v>
      </c>
    </row>
    <row r="24" spans="8:8" ht="14.9">
      <c r="C24" t="s">
        <v>28</v>
      </c>
      <c r="E24" s="7">
        <v>13.0</v>
      </c>
      <c r="G24" s="4"/>
      <c r="H24" s="4"/>
      <c r="I24" s="4"/>
      <c r="J24" s="4"/>
      <c r="K24" s="4"/>
      <c r="L24" s="4">
        <v>500.0</v>
      </c>
    </row>
    <row r="25" spans="8:8" ht="14.9">
      <c r="A25" s="1" t="s">
        <v>29</v>
      </c>
      <c r="B25" s="2">
        <v>500.0</v>
      </c>
      <c r="C25" t="s">
        <v>60</v>
      </c>
      <c r="E25" s="4">
        <f>I47</f>
        <v>2000.0</v>
      </c>
      <c r="G25" s="4"/>
      <c r="H25" s="4"/>
      <c r="I25" s="4"/>
      <c r="J25" s="4"/>
      <c r="K25" s="4"/>
      <c r="L25" s="4">
        <f>SUM(J25*K25)</f>
        <v>0.0</v>
      </c>
    </row>
    <row r="26" spans="8:8" ht="14.9">
      <c r="A26" s="1" t="s">
        <v>30</v>
      </c>
      <c r="B26" s="2">
        <v>1000.0</v>
      </c>
      <c r="G26" s="4"/>
      <c r="H26" s="4"/>
      <c r="I26" s="4"/>
      <c r="J26" s="4"/>
      <c r="K26" s="4"/>
      <c r="L26" s="4">
        <f>SUM(J26*K26)</f>
        <v>0.0</v>
      </c>
    </row>
    <row r="27" spans="8:8" ht="14.9">
      <c r="A27" s="1" t="s">
        <v>31</v>
      </c>
      <c r="B27" s="2"/>
      <c r="G27" s="4"/>
      <c r="H27" s="4"/>
      <c r="I27" s="4"/>
      <c r="J27" s="4"/>
      <c r="K27" s="4"/>
      <c r="L27" s="4">
        <f>SUM(J27*K27)</f>
        <v>0.0</v>
      </c>
    </row>
    <row r="28" spans="8:8" ht="14.9">
      <c r="A28" s="1" t="s">
        <v>32</v>
      </c>
      <c r="B28" s="2"/>
      <c r="G28" s="4"/>
      <c r="H28" s="4"/>
      <c r="I28" s="4"/>
      <c r="J28" s="4"/>
      <c r="K28" s="4"/>
      <c r="L28" s="4">
        <f>SUM(J28*K28)</f>
        <v>0.0</v>
      </c>
    </row>
    <row r="29" spans="8:8" ht="14.9">
      <c r="A29" s="1" t="s">
        <v>33</v>
      </c>
      <c r="B29" s="2"/>
      <c r="G29" s="4"/>
      <c r="H29" s="4"/>
      <c r="I29" s="4"/>
      <c r="J29" s="4"/>
      <c r="K29" s="4"/>
      <c r="L29" s="4">
        <f>SUM(J29*K29)</f>
        <v>0.0</v>
      </c>
    </row>
    <row r="30" spans="8:8" ht="14.9">
      <c r="A30" s="1" t="s">
        <v>34</v>
      </c>
      <c r="B30" s="2"/>
      <c r="G30" s="4"/>
      <c r="H30" s="4"/>
      <c r="I30" s="4"/>
      <c r="J30" s="4"/>
      <c r="K30" s="4"/>
      <c r="L30" s="4">
        <f>SUM(J30*K30)</f>
        <v>0.0</v>
      </c>
    </row>
    <row r="31" spans="8:8" ht="14.9">
      <c r="A31" s="1" t="s">
        <v>35</v>
      </c>
      <c r="B31" s="2"/>
      <c r="G31" s="4"/>
      <c r="H31" s="4"/>
      <c r="I31" s="4"/>
      <c r="J31" s="4"/>
      <c r="K31" s="4"/>
      <c r="L31" s="4">
        <f>SUM(J31*K31)</f>
        <v>0.0</v>
      </c>
    </row>
    <row r="32" spans="8:8" ht="14.9">
      <c r="A32" s="6"/>
      <c r="G32" s="4"/>
      <c r="H32" s="4"/>
      <c r="I32" s="4"/>
      <c r="J32" s="4"/>
      <c r="K32" s="4"/>
      <c r="L32" s="4">
        <f>SUM(J32*K32)</f>
        <v>0.0</v>
      </c>
    </row>
    <row r="33" spans="8:8" ht="14.9">
      <c r="G33" s="4"/>
      <c r="H33" s="4"/>
      <c r="I33" s="4"/>
      <c r="J33" s="4"/>
      <c r="K33" s="4"/>
      <c r="L33" s="4">
        <f>SUM(J33*K33)</f>
        <v>0.0</v>
      </c>
    </row>
    <row r="34" spans="8:8" ht="14.9">
      <c r="C34" t="s">
        <v>37</v>
      </c>
      <c r="E34" s="8">
        <f>SUM(L36)</f>
        <v>1500.0</v>
      </c>
      <c r="G34" s="4"/>
      <c r="H34" s="4"/>
      <c r="I34" s="4"/>
      <c r="J34" s="4"/>
      <c r="K34" s="4"/>
      <c r="L34" s="4">
        <f>SUM(J34*K34)</f>
        <v>0.0</v>
      </c>
    </row>
    <row r="35" spans="8:8" ht="14.95">
      <c r="C35"/>
      <c r="E35" s="4"/>
      <c r="G35" s="4"/>
      <c r="H35" s="4"/>
      <c r="I35" s="4"/>
      <c r="J35" s="4"/>
      <c r="K35" s="4"/>
      <c r="L35" s="4">
        <f>SUM(J35*K35)</f>
        <v>0.0</v>
      </c>
    </row>
    <row r="36" spans="8:8" ht="14.95">
      <c r="C36"/>
      <c r="E36" s="4"/>
      <c r="G36" s="4"/>
      <c r="H36" s="4"/>
      <c r="I36" s="4"/>
      <c r="J36" s="4"/>
      <c r="K36" s="4" t="s">
        <v>51</v>
      </c>
      <c r="L36" s="4">
        <f>SUM(L23:L35)</f>
        <v>1500.0</v>
      </c>
    </row>
    <row r="37" spans="8:8" ht="14.9">
      <c r="C37" t="s">
        <v>40</v>
      </c>
      <c r="D37" s="9"/>
      <c r="E37" s="8">
        <f>SUM(E23+E24+E25)</f>
        <v>4633.0</v>
      </c>
    </row>
    <row r="38" spans="8:8">
      <c r="C38" t="s">
        <v>41</v>
      </c>
      <c r="D38" s="5"/>
      <c r="E38" s="4">
        <f>SUM(E37+E34)-H13</f>
        <v>0.5566000012404402</v>
      </c>
    </row>
    <row r="39" spans="8:8">
      <c r="G39" s="5" t="s">
        <v>58</v>
      </c>
    </row>
    <row r="40" spans="8:8">
      <c r="G40" s="4"/>
      <c r="H40" s="4"/>
      <c r="I40" s="4"/>
    </row>
    <row r="41" spans="8:8" ht="14.9">
      <c r="G41" s="4"/>
      <c r="H41" s="4" t="s">
        <v>59</v>
      </c>
      <c r="I41" s="4">
        <v>500.0</v>
      </c>
    </row>
    <row r="42" spans="8:8" ht="14.9">
      <c r="G42" s="4"/>
      <c r="H42" s="4" t="s">
        <v>59</v>
      </c>
      <c r="I42" s="4">
        <v>500.0</v>
      </c>
    </row>
    <row r="43" spans="8:8" ht="14.9">
      <c r="G43" s="4"/>
      <c r="H43" s="4" t="s">
        <v>59</v>
      </c>
      <c r="I43" s="4">
        <v>1000.0</v>
      </c>
    </row>
    <row r="44" spans="8:8">
      <c r="G44" s="4"/>
      <c r="H44" s="4"/>
      <c r="I44" s="4"/>
    </row>
    <row r="45" spans="8:8">
      <c r="G45" s="4"/>
      <c r="H45" s="4"/>
      <c r="I45" s="4"/>
    </row>
    <row r="46" spans="8:8">
      <c r="G46" s="4"/>
      <c r="H46" s="4"/>
      <c r="I46" s="4"/>
    </row>
    <row r="47" spans="8:8">
      <c r="G47" s="4"/>
      <c r="H47" s="4"/>
      <c r="I47" s="4">
        <f>SUM(I41:I46)</f>
        <v>2000.0</v>
      </c>
    </row>
    <row r="50" spans="8:8">
      <c r="B50" s="10" t="s">
        <v>83</v>
      </c>
    </row>
    <row r="51" spans="8:8" ht="14.85">
      <c r="B51" s="11" t="s">
        <v>79</v>
      </c>
      <c r="C51" s="12">
        <v>1120.0</v>
      </c>
      <c r="D51" s="11" t="s">
        <v>80</v>
      </c>
      <c r="E51" s="12">
        <v>1500.0</v>
      </c>
      <c r="F51" s="11" t="s">
        <v>82</v>
      </c>
      <c r="G51" s="12">
        <v>13.0</v>
      </c>
    </row>
    <row r="52" spans="8:8">
      <c r="B52" s="11"/>
      <c r="C52" s="11"/>
      <c r="D52" s="11"/>
      <c r="E52" s="11"/>
      <c r="F52" s="11"/>
      <c r="G52" s="11"/>
    </row>
    <row r="53" spans="8:8">
      <c r="B53" s="11"/>
      <c r="C53" s="11"/>
      <c r="D53" s="11"/>
      <c r="E53" s="11"/>
      <c r="F53" s="11"/>
      <c r="G53" s="11"/>
    </row>
    <row r="54" spans="8:8" ht="14.85">
      <c r="B54" s="11" t="s">
        <v>61</v>
      </c>
      <c r="C54" s="13">
        <v>6132.429</v>
      </c>
      <c r="D54" s="11"/>
      <c r="E54" s="11"/>
      <c r="F54" s="11"/>
      <c r="G54" s="11"/>
    </row>
    <row r="55" spans="8:8" ht="14.85">
      <c r="B55" s="11" t="s">
        <v>63</v>
      </c>
      <c r="C55" s="13">
        <v>1500.0</v>
      </c>
      <c r="D55" s="11"/>
      <c r="E55" s="11"/>
      <c r="F55" s="11"/>
      <c r="G55" s="11"/>
    </row>
    <row r="56" spans="8:8" ht="14.85">
      <c r="B56" s="11" t="s">
        <v>65</v>
      </c>
      <c r="C56" s="13">
        <v>2000.0</v>
      </c>
      <c r="D56" s="11"/>
      <c r="E56" s="11"/>
      <c r="F56" s="11"/>
      <c r="G56" s="11"/>
    </row>
    <row r="57" spans="8:8" ht="14.85">
      <c r="B57" s="11" t="s">
        <v>67</v>
      </c>
      <c r="C57" s="14">
        <v>0.0</v>
      </c>
      <c r="D57" s="11"/>
      <c r="E57" s="11"/>
      <c r="F57" s="11"/>
      <c r="G57" s="11"/>
    </row>
    <row r="58" spans="8:8">
      <c r="B58" s="11" t="s">
        <v>69</v>
      </c>
      <c r="C58" s="11">
        <f>SUM(C54-C55-C56-C57)</f>
        <v>2632.429</v>
      </c>
      <c r="D58" s="11"/>
      <c r="E58" s="11"/>
      <c r="F58" s="11"/>
      <c r="G58" s="11"/>
    </row>
    <row r="59" spans="8:8" ht="14.85">
      <c r="B59" s="11" t="s">
        <v>71</v>
      </c>
      <c r="C59" s="12">
        <f>SUM(C51,E51,G51)</f>
        <v>2633.0</v>
      </c>
      <c r="D59" s="11"/>
      <c r="E59" s="11"/>
      <c r="F59" s="11"/>
      <c r="G59" s="11"/>
    </row>
    <row r="60" spans="8:8">
      <c r="B60" s="11" t="s">
        <v>73</v>
      </c>
      <c r="C60" s="11">
        <f>SUM(C59-C58)</f>
        <v>0.5709999999999127</v>
      </c>
      <c r="D60" s="11"/>
      <c r="E60" s="11"/>
      <c r="F60" s="11"/>
      <c r="G60" s="11"/>
    </row>
    <row r="61" spans="8:8">
      <c r="B61" s="11" t="s">
        <v>75</v>
      </c>
      <c r="C61" s="11" t="s">
        <v>62</v>
      </c>
      <c r="D61" s="11"/>
      <c r="E61" s="11"/>
      <c r="F61" s="11"/>
      <c r="G61" s="11"/>
    </row>
    <row r="62" spans="8:8">
      <c r="B62" s="11"/>
      <c r="C62" s="11"/>
      <c r="D62" s="11"/>
      <c r="E62" s="11"/>
      <c r="F62" s="11"/>
      <c r="G62" s="11"/>
    </row>
    <row r="63" spans="8:8">
      <c r="B63" s="11"/>
      <c r="C63" s="11"/>
      <c r="D63" s="11"/>
      <c r="E63" s="11"/>
      <c r="F63" s="11"/>
      <c r="G63" s="11"/>
    </row>
    <row r="65" spans="8:8">
      <c r="B65" s="10" t="s">
        <v>85</v>
      </c>
    </row>
    <row r="66" spans="8:8" ht="15.35">
      <c r="B66" s="11" t="s">
        <v>61</v>
      </c>
      <c r="C66" s="11"/>
      <c r="D66" s="12">
        <f>H13</f>
        <v>6132.443399998759</v>
      </c>
    </row>
    <row r="67" spans="8:8" ht="15.35">
      <c r="B67" s="15" t="s">
        <v>27</v>
      </c>
      <c r="C67" s="11"/>
      <c r="D67" s="16">
        <f>E23</f>
        <v>2620.0</v>
      </c>
    </row>
    <row r="68" spans="8:8" ht="15.35">
      <c r="B68" s="11" t="s">
        <v>28</v>
      </c>
      <c r="C68" s="11"/>
      <c r="D68" s="16">
        <f>E24</f>
        <v>13.0</v>
      </c>
    </row>
    <row r="69" spans="8:8" ht="14.95">
      <c r="B69" s="11" t="s">
        <v>84</v>
      </c>
      <c r="C69" s="11"/>
      <c r="D69" s="16">
        <f>E25</f>
        <v>2000.0</v>
      </c>
    </row>
    <row r="70" spans="8:8" ht="15.35">
      <c r="B70" s="11" t="s">
        <v>37</v>
      </c>
      <c r="C70" s="11"/>
      <c r="D70" s="16">
        <f>SUM(E34)</f>
        <v>1500.0</v>
      </c>
    </row>
    <row r="71" spans="8:8" ht="15.35">
      <c r="B71" s="11" t="s">
        <v>40</v>
      </c>
      <c r="C71" s="17"/>
      <c r="D71" s="16">
        <f>SUM(D67+D68+D69)</f>
        <v>4633.0</v>
      </c>
    </row>
    <row r="72" spans="8:8" ht="14.95">
      <c r="B72" s="11" t="s">
        <v>41</v>
      </c>
      <c r="C72" s="15"/>
      <c r="D72" s="16">
        <f>SUM(D71+D70)-D66</f>
        <v>0.5566000012404402</v>
      </c>
    </row>
    <row r="73" spans="8:8" ht="14.25"/>
    <row r="74" spans="8:8" ht="14.25"/>
    <row r="76" spans="8:8" ht="14.25"/>
    <row r="78" spans="8:8" ht="14.25"/>
    <row r="79" spans="8:8" ht="14.25"/>
    <row r="80" spans="8:8" ht="14.25"/>
    <row r="81" spans="8:8" ht="14.25"/>
    <row r="82" spans="8:8" ht="14.2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Note:</dc:creator>
  <dcterms:created xsi:type="dcterms:W3CDTF">2026-04-29T22:32:22Z</dcterms:created>
  <dcterms:modified xsi:type="dcterms:W3CDTF">2026-05-01T08:53:01Z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27110088c5de4f2abf612ea3fe4c0906</vt:lpwstr>
  </property>
</Properties>
</file>